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Executive Summary"/>
    <sheet r:id="rId2" sheetId="2" name="Branch Directory"/>
  </sheets>
  <definedNames>
    <definedName name="_xlnm._FilterDatabase" localSheetId="1">='Branch Directory'!$A$1:$F$101</definedName>
  </definedNames>
  <calcPr fullCalcOnLoad="1"/>
</workbook>
</file>

<file path=xl/sharedStrings.xml><?xml version="1.0" encoding="utf-8"?>
<sst xmlns="http://schemas.openxmlformats.org/spreadsheetml/2006/main" count="525" uniqueCount="280">
  <si>
    <t>Branch ID</t>
  </si>
  <si>
    <t>Branch Name</t>
  </si>
  <si>
    <t>City</t>
  </si>
  <si>
    <t>State</t>
  </si>
  <si>
    <t>Region</t>
  </si>
  <si>
    <t>Employees</t>
  </si>
  <si>
    <t>B001</t>
  </si>
  <si>
    <t>Howrah South</t>
  </si>
  <si>
    <t>Howrah</t>
  </si>
  <si>
    <t>West Bengal</t>
  </si>
  <si>
    <t>East</t>
  </si>
  <si>
    <t>B002</t>
  </si>
  <si>
    <t>Vijayawada City Center</t>
  </si>
  <si>
    <t>Vijayawada</t>
  </si>
  <si>
    <t>Andhra Pradesh</t>
  </si>
  <si>
    <t>South</t>
  </si>
  <si>
    <t>B003</t>
  </si>
  <si>
    <t>Ranchi Tech Park</t>
  </si>
  <si>
    <t>Ranchi</t>
  </si>
  <si>
    <t>Jharkhand</t>
  </si>
  <si>
    <t>B004</t>
  </si>
  <si>
    <t>Siliguri South</t>
  </si>
  <si>
    <t>Siliguri</t>
  </si>
  <si>
    <t>B005</t>
  </si>
  <si>
    <t>Ludhiana Bypass</t>
  </si>
  <si>
    <t>Ludhiana</t>
  </si>
  <si>
    <t>Punjab</t>
  </si>
  <si>
    <t>North</t>
  </si>
  <si>
    <t>B006</t>
  </si>
  <si>
    <t>Visakhapatnam City Center</t>
  </si>
  <si>
    <t>Visakhapatnam</t>
  </si>
  <si>
    <t>B007</t>
  </si>
  <si>
    <t>Madurai South</t>
  </si>
  <si>
    <t>Madurai</t>
  </si>
  <si>
    <t>Tamil Nadu</t>
  </si>
  <si>
    <t>B008</t>
  </si>
  <si>
    <t>Aurangabad City Center</t>
  </si>
  <si>
    <t>Aurangabad</t>
  </si>
  <si>
    <t>Maharashtra</t>
  </si>
  <si>
    <t>West</t>
  </si>
  <si>
    <t>B009</t>
  </si>
  <si>
    <t>New Delhi South</t>
  </si>
  <si>
    <t>New Delhi</t>
  </si>
  <si>
    <t>Delhi</t>
  </si>
  <si>
    <t>B010</t>
  </si>
  <si>
    <t>Bhilai West</t>
  </si>
  <si>
    <t>Bhilai</t>
  </si>
  <si>
    <t>Chhattisgarh</t>
  </si>
  <si>
    <t>Central</t>
  </si>
  <si>
    <t>B011</t>
  </si>
  <si>
    <t>Cuttack Metro</t>
  </si>
  <si>
    <t>Cuttack</t>
  </si>
  <si>
    <t>Odisha</t>
  </si>
  <si>
    <t>B012</t>
  </si>
  <si>
    <t>Agra South</t>
  </si>
  <si>
    <t>Agra</t>
  </si>
  <si>
    <t>Uttar Pradesh</t>
  </si>
  <si>
    <t>B013</t>
  </si>
  <si>
    <t>Agra City Center</t>
  </si>
  <si>
    <t>B014</t>
  </si>
  <si>
    <t>Mangaluru Central</t>
  </si>
  <si>
    <t>Mangaluru</t>
  </si>
  <si>
    <t>Karnataka</t>
  </si>
  <si>
    <t>B015</t>
  </si>
  <si>
    <t>Bhubaneswar Expressway</t>
  </si>
  <si>
    <t>Bhubaneswar</t>
  </si>
  <si>
    <t>B016</t>
  </si>
  <si>
    <t>Ranchi East</t>
  </si>
  <si>
    <t>B017</t>
  </si>
  <si>
    <t>Bhilai Hub</t>
  </si>
  <si>
    <t>B018</t>
  </si>
  <si>
    <t>Agra Central</t>
  </si>
  <si>
    <t>B019</t>
  </si>
  <si>
    <t>Gwalior Expressway</t>
  </si>
  <si>
    <t>Gwalior</t>
  </si>
  <si>
    <t>Madhya Pradesh</t>
  </si>
  <si>
    <t>B020</t>
  </si>
  <si>
    <t>Mumbai City Center</t>
  </si>
  <si>
    <t>Mumbai</t>
  </si>
  <si>
    <t>B021</t>
  </si>
  <si>
    <t>Udaipur Central</t>
  </si>
  <si>
    <t>Udaipur</t>
  </si>
  <si>
    <t>Rajasthan</t>
  </si>
  <si>
    <t>B022</t>
  </si>
  <si>
    <t>Bhilai Main</t>
  </si>
  <si>
    <t>B023</t>
  </si>
  <si>
    <t>Bhopal West</t>
  </si>
  <si>
    <t>Bhopal</t>
  </si>
  <si>
    <t>B024</t>
  </si>
  <si>
    <t>Madurai Industrial Estate</t>
  </si>
  <si>
    <t>B025</t>
  </si>
  <si>
    <t>Nagpur Hub</t>
  </si>
  <si>
    <t>Nagpur</t>
  </si>
  <si>
    <t>B026</t>
  </si>
  <si>
    <t>Hyderabad Central</t>
  </si>
  <si>
    <t>Hyderabad</t>
  </si>
  <si>
    <t>Telangana</t>
  </si>
  <si>
    <t>B027</t>
  </si>
  <si>
    <t>Lucknow Expressway</t>
  </si>
  <si>
    <t>Lucknow</t>
  </si>
  <si>
    <t>B028</t>
  </si>
  <si>
    <t>New Delhi Expressway</t>
  </si>
  <si>
    <t>B029</t>
  </si>
  <si>
    <t>Chandigarh North</t>
  </si>
  <si>
    <t>Chandigarh</t>
  </si>
  <si>
    <t>B030</t>
  </si>
  <si>
    <t>Amritsar East</t>
  </si>
  <si>
    <t>Amritsar</t>
  </si>
  <si>
    <t>B031</t>
  </si>
  <si>
    <t>Guwahati Tech Park</t>
  </si>
  <si>
    <t>Guwahati</t>
  </si>
  <si>
    <t>Assam</t>
  </si>
  <si>
    <t>B032</t>
  </si>
  <si>
    <t>Mumbai Central</t>
  </si>
  <si>
    <t>B033</t>
  </si>
  <si>
    <t>Nagpur Industrial Estate</t>
  </si>
  <si>
    <t>B034</t>
  </si>
  <si>
    <t>Udaipur Bypass</t>
  </si>
  <si>
    <t>B035</t>
  </si>
  <si>
    <t>Surat Expressway</t>
  </si>
  <si>
    <t>Surat</t>
  </si>
  <si>
    <t>Gujarat</t>
  </si>
  <si>
    <t>B036</t>
  </si>
  <si>
    <t>Bhubaneswar Metro</t>
  </si>
  <si>
    <t>B037</t>
  </si>
  <si>
    <t>Faridabad Metro</t>
  </si>
  <si>
    <t>Faridabad</t>
  </si>
  <si>
    <t>Haryana</t>
  </si>
  <si>
    <t>B038</t>
  </si>
  <si>
    <t>Vadodara Expressway</t>
  </si>
  <si>
    <t>Vadodara</t>
  </si>
  <si>
    <t>B039</t>
  </si>
  <si>
    <t>Bhilai South</t>
  </si>
  <si>
    <t>B040</t>
  </si>
  <si>
    <t>Dehradun City Center</t>
  </si>
  <si>
    <t>Dehradun</t>
  </si>
  <si>
    <t>Uttarakhand</t>
  </si>
  <si>
    <t>B041</t>
  </si>
  <si>
    <t>Aurangabad North</t>
  </si>
  <si>
    <t>B042</t>
  </si>
  <si>
    <t>Visakhapatnam Hub</t>
  </si>
  <si>
    <t>B043</t>
  </si>
  <si>
    <t>Nashik Tech Park</t>
  </si>
  <si>
    <t>Nashik</t>
  </si>
  <si>
    <t>B044</t>
  </si>
  <si>
    <t>Guwahati West</t>
  </si>
  <si>
    <t>B045</t>
  </si>
  <si>
    <t>Nashik South</t>
  </si>
  <si>
    <t>B046</t>
  </si>
  <si>
    <t>Jamshedpur West</t>
  </si>
  <si>
    <t>Jamshedpur</t>
  </si>
  <si>
    <t>B047</t>
  </si>
  <si>
    <t>Hyderabad North</t>
  </si>
  <si>
    <t>B048</t>
  </si>
  <si>
    <t>Faridabad South</t>
  </si>
  <si>
    <t>B049</t>
  </si>
  <si>
    <t>Surat Tech Park</t>
  </si>
  <si>
    <t>B050</t>
  </si>
  <si>
    <t>Coimbatore Central</t>
  </si>
  <si>
    <t>Coimbatore</t>
  </si>
  <si>
    <t>B051</t>
  </si>
  <si>
    <t>Patna North</t>
  </si>
  <si>
    <t>Patna</t>
  </si>
  <si>
    <t>Bihar</t>
  </si>
  <si>
    <t>B052</t>
  </si>
  <si>
    <t>Mumbai Expressway</t>
  </si>
  <si>
    <t>B053</t>
  </si>
  <si>
    <t>Bhubaneswar City Center</t>
  </si>
  <si>
    <t>B054</t>
  </si>
  <si>
    <t>Kolkata Main</t>
  </si>
  <si>
    <t>Kolkata</t>
  </si>
  <si>
    <t>B055</t>
  </si>
  <si>
    <t>Coimbatore Metro</t>
  </si>
  <si>
    <t>B056</t>
  </si>
  <si>
    <t>Chandigarh Expressway</t>
  </si>
  <si>
    <t>B057</t>
  </si>
  <si>
    <t>Dehradun Industrial Estate</t>
  </si>
  <si>
    <t>B058</t>
  </si>
  <si>
    <t>Thiruvananthapuram West</t>
  </si>
  <si>
    <t>Thiruvananthapuram</t>
  </si>
  <si>
    <t>Kerala</t>
  </si>
  <si>
    <t>B059</t>
  </si>
  <si>
    <t>Vadodara East</t>
  </si>
  <si>
    <t>B060</t>
  </si>
  <si>
    <t>B061</t>
  </si>
  <si>
    <t>B062</t>
  </si>
  <si>
    <t>Gwalior South</t>
  </si>
  <si>
    <t>B063</t>
  </si>
  <si>
    <t>Thane South</t>
  </si>
  <si>
    <t>Thane</t>
  </si>
  <si>
    <t>B064</t>
  </si>
  <si>
    <t>Ranchi Central</t>
  </si>
  <si>
    <t>B065</t>
  </si>
  <si>
    <t>Visakhapatnam Central</t>
  </si>
  <si>
    <t>B066</t>
  </si>
  <si>
    <t>Pune City Center</t>
  </si>
  <si>
    <t>Pune</t>
  </si>
  <si>
    <t>B067</t>
  </si>
  <si>
    <t>Mysuru Expressway</t>
  </si>
  <si>
    <t>Mysuru</t>
  </si>
  <si>
    <t>B068</t>
  </si>
  <si>
    <t>B069</t>
  </si>
  <si>
    <t>Ranchi Expressway</t>
  </si>
  <si>
    <t>B070</t>
  </si>
  <si>
    <t>Mangaluru North</t>
  </si>
  <si>
    <t>B071</t>
  </si>
  <si>
    <t>Udaipur Tech Park</t>
  </si>
  <si>
    <t>B072</t>
  </si>
  <si>
    <t>Kochi Expressway</t>
  </si>
  <si>
    <t>Kochi</t>
  </si>
  <si>
    <t>B073</t>
  </si>
  <si>
    <t>Gwalior East</t>
  </si>
  <si>
    <t>B074</t>
  </si>
  <si>
    <t>B075</t>
  </si>
  <si>
    <t>Kochi Metro</t>
  </si>
  <si>
    <t>B076</t>
  </si>
  <si>
    <t>Coimbatore Main</t>
  </si>
  <si>
    <t>B077</t>
  </si>
  <si>
    <t>Visakhapatnam Bypass</t>
  </si>
  <si>
    <t>B078</t>
  </si>
  <si>
    <t>Gurugram Expressway</t>
  </si>
  <si>
    <t>Gurugram</t>
  </si>
  <si>
    <t>B079</t>
  </si>
  <si>
    <t>Hyderabad Tech Park</t>
  </si>
  <si>
    <t>B080</t>
  </si>
  <si>
    <t>Mangaluru Main</t>
  </si>
  <si>
    <t>B081</t>
  </si>
  <si>
    <t>Bhubaneswar Main</t>
  </si>
  <si>
    <t>B082</t>
  </si>
  <si>
    <t>Kanpur City Center</t>
  </si>
  <si>
    <t>Kanpur</t>
  </si>
  <si>
    <t>B083</t>
  </si>
  <si>
    <t>Hyderabad Metro</t>
  </si>
  <si>
    <t>B084</t>
  </si>
  <si>
    <t>Rajkot City Center</t>
  </si>
  <si>
    <t>Rajkot</t>
  </si>
  <si>
    <t>B085</t>
  </si>
  <si>
    <t>Nashik Main</t>
  </si>
  <si>
    <t>B086</t>
  </si>
  <si>
    <t>Hyderabad Industrial Estate</t>
  </si>
  <si>
    <t>B087</t>
  </si>
  <si>
    <t>Surat Bypass</t>
  </si>
  <si>
    <t>B088</t>
  </si>
  <si>
    <t>B089</t>
  </si>
  <si>
    <t>Visakhapatnam Tech Park</t>
  </si>
  <si>
    <t>B090</t>
  </si>
  <si>
    <t>Thane North</t>
  </si>
  <si>
    <t>B091</t>
  </si>
  <si>
    <t>Bhopal Hub</t>
  </si>
  <si>
    <t>B092</t>
  </si>
  <si>
    <t>Madurai Main</t>
  </si>
  <si>
    <t>B093</t>
  </si>
  <si>
    <t>Vijayawada South</t>
  </si>
  <si>
    <t>B094</t>
  </si>
  <si>
    <t>Bhilai Tech Park</t>
  </si>
  <si>
    <t>B095</t>
  </si>
  <si>
    <t>Chennai Bypass</t>
  </si>
  <si>
    <t>Chennai</t>
  </si>
  <si>
    <t>B096</t>
  </si>
  <si>
    <t>B097</t>
  </si>
  <si>
    <t>Indore Industrial Estate</t>
  </si>
  <si>
    <t>Indore</t>
  </si>
  <si>
    <t>B098</t>
  </si>
  <si>
    <t>B099</t>
  </si>
  <si>
    <t>Vadodara Main</t>
  </si>
  <si>
    <t>B100</t>
  </si>
  <si>
    <t>Jaipur Bypass</t>
  </si>
  <si>
    <t>Jaipur</t>
  </si>
  <si>
    <t>Total</t>
  </si>
  <si>
    <t>100 Branches</t>
  </si>
  <si>
    <t>Branch Analytics Dashboard</t>
  </si>
  <si>
    <t>High-level summary of national branch distribution and staffing</t>
  </si>
  <si>
    <t>TOTAL BRANCHES</t>
  </si>
  <si>
    <t>TOTAL EMPLOYEES</t>
  </si>
  <si>
    <t>AVG EMPLOYEES / BRANCH</t>
  </si>
  <si>
    <t>LARGEST BRANCH STAFF</t>
  </si>
  <si>
    <t>Regional Summary</t>
  </si>
  <si>
    <t>Branch Count</t>
  </si>
  <si>
    <t>Total Employees</t>
  </si>
  <si>
    <t>Avg Employees / Branch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</si>
</sst>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#,##0.0"/>
  </numFmts>
  <fonts count="9" x14ac:knownFonts="1">
    <font>
      <sz val="11"/>
      <color theme="1"/>
      <name val="Calibri"/>
      <family val="2"/>
      <scheme val="minor"/>
    </font>
    <font>
      <sz val="11"/>
      <color rgb="FFffffff"/>
      <name val="Segoe UI"/>
      <family val="2"/>
    </font>
    <font>
      <sz val="10"/>
      <color theme="1"/>
      <name val="Segoe UI"/>
      <family val="2"/>
    </font>
    <font>
      <sz val="11"/>
      <color theme="1"/>
      <name val="Calibri"/>
      <family val="2"/>
    </font>
    <font>
      <sz val="16"/>
      <color rgb="FF1f4e78"/>
      <name val="Segoe UI"/>
      <family val="2"/>
    </font>
    <font>
      <sz val="10"/>
      <color rgb="FF595959"/>
      <name val="Segoe UI"/>
      <family val="2"/>
    </font>
    <font>
      <sz val="9"/>
      <color rgb="FF595959"/>
      <name val="Segoe UI"/>
      <family val="2"/>
    </font>
    <font>
      <sz val="18"/>
      <color rgb="FF1f4e78"/>
      <name val="Segoe UI"/>
      <family val="2"/>
    </font>
    <font>
      <sz val="13"/>
      <color rgb="FF1f4e78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f2f5f9"/>
      </patternFill>
    </fill>
  </fills>
  <borders count="5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31">
    <xf xfId="0" numFmtId="0" borderId="0" fontId="0" fillId="0"/>
    <xf xfId="0" numFmtId="0" borderId="1" applyBorder="1" fontId="1" applyFont="1" fillId="2" applyFill="1" applyAlignment="1">
      <alignment horizontal="center"/>
    </xf>
    <xf xfId="0" numFmtId="0" borderId="1" applyBorder="1" fontId="1" applyFont="1" fillId="2" applyFill="1" applyAlignment="1">
      <alignment horizontal="left"/>
    </xf>
    <xf xfId="0" numFmtId="3" applyNumberFormat="1" borderId="1" applyBorder="1" fontId="1" applyFont="1" fillId="2" applyFill="1" applyAlignment="1">
      <alignment horizontal="center"/>
    </xf>
    <xf xfId="0" numFmtId="0" borderId="2" applyBorder="1" fontId="2" applyFont="1" fillId="3" applyFill="1" applyAlignment="1">
      <alignment horizontal="center"/>
    </xf>
    <xf xfId="0" numFmtId="0" borderId="2" applyBorder="1" fontId="2" applyFont="1" fillId="3" applyFill="1" applyAlignment="1">
      <alignment horizontal="left"/>
    </xf>
    <xf xfId="0" numFmtId="3" applyNumberFormat="1" borderId="2" applyBorder="1" fontId="2" applyFont="1" fillId="3" applyFill="1" applyAlignment="1">
      <alignment horizontal="right"/>
    </xf>
    <xf xfId="0" numFmtId="0" borderId="2" applyBorder="1" fontId="2" applyFont="1" fillId="4" applyFill="1" applyAlignment="1">
      <alignment horizontal="center"/>
    </xf>
    <xf xfId="0" numFmtId="0" borderId="2" applyBorder="1" fontId="2" applyFont="1" fillId="4" applyFill="1" applyAlignment="1">
      <alignment horizontal="left"/>
    </xf>
    <xf xfId="0" numFmtId="3" applyNumberFormat="1" borderId="2" applyBorder="1" fontId="2" applyFont="1" fillId="4" applyFill="1" applyAlignment="1">
      <alignment horizontal="right"/>
    </xf>
    <xf xfId="0" numFmtId="0" borderId="3" applyBorder="1" fontId="2" applyFont="1" fillId="0" applyAlignment="1">
      <alignment horizontal="left"/>
    </xf>
    <xf xfId="0" numFmtId="0" borderId="3" applyBorder="1" fontId="3" applyFont="1" fillId="0" applyAlignment="1">
      <alignment horizontal="left"/>
    </xf>
    <xf xfId="0" numFmtId="0" borderId="3" applyBorder="1" fontId="2" applyFont="1" fillId="0" applyAlignment="1">
      <alignment horizontal="center"/>
    </xf>
    <xf xfId="0" numFmtId="3" applyNumberFormat="1" borderId="3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0" borderId="0" fontId="0" fillId="0" applyAlignment="1">
      <alignment horizontal="center"/>
    </xf>
    <xf xfId="0" numFmtId="0" borderId="0" fontId="0" fillId="0" applyAlignment="1">
      <alignment horizontal="right"/>
    </xf>
    <xf xfId="0" numFmtId="0" borderId="4" applyBorder="1" fontId="4" applyFont="1" fillId="0" applyAlignment="1">
      <alignment horizontal="left"/>
    </xf>
    <xf xfId="0" numFmtId="0" borderId="4" applyBorder="1" fontId="5" applyFont="1" fillId="0" applyAlignment="1">
      <alignment horizontal="left"/>
    </xf>
    <xf xfId="0" numFmtId="0" borderId="1" applyBorder="1" fontId="6" applyFont="1" fillId="4" applyFill="1" applyAlignment="1">
      <alignment horizontal="center"/>
    </xf>
    <xf xfId="0" numFmtId="3" applyNumberFormat="1" borderId="1" applyBorder="1" fontId="7" applyFont="1" fillId="4" applyFill="1" applyAlignment="1">
      <alignment horizontal="center"/>
    </xf>
    <xf xfId="0" numFmtId="164" applyNumberFormat="1" borderId="1" applyBorder="1" fontId="7" applyFont="1" fillId="4" applyFill="1" applyAlignment="1">
      <alignment horizontal="center"/>
    </xf>
    <xf xfId="0" numFmtId="0" borderId="4" applyBorder="1" fontId="8" applyFont="1" fillId="0" applyAlignment="1">
      <alignment horizontal="left"/>
    </xf>
    <xf xfId="0" numFmtId="0" borderId="2" applyBorder="1" fontId="2" applyFont="1" fillId="0" applyAlignment="1">
      <alignment horizontal="center"/>
    </xf>
    <xf xfId="0" numFmtId="3" applyNumberFormat="1" borderId="2" applyBorder="1" fontId="2" applyFont="1" fillId="0" applyAlignment="1">
      <alignment horizontal="right"/>
    </xf>
    <xf xfId="0" numFmtId="164" applyNumberFormat="1" borderId="2" applyBorder="1" fontId="2" applyFont="1" fillId="0" applyAlignment="1">
      <alignment horizontal="right"/>
    </xf>
    <xf xfId="0" numFmtId="164" applyNumberFormat="1" borderId="3" applyBorder="1" fontId="2" applyFont="1" fillId="0" applyAlignment="1">
      <alignment horizontal="right"/>
    </xf>
    <xf xfId="0" numFmtId="0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16"/>
  <sheetViews>
    <sheetView workbookViewId="0"/>
  </sheetViews>
  <sheetFormatPr defaultRowHeight="15" x14ac:dyDescent="0.25"/>
  <cols>
    <col min="1" max="1" style="14" width="3.005" customWidth="1" bestFit="1"/>
    <col min="2" max="2" style="15" width="22.005" customWidth="1" bestFit="1"/>
    <col min="3" max="3" style="30" width="22.005" customWidth="1" bestFit="1"/>
    <col min="4" max="4" style="30" width="22.005" customWidth="1" bestFit="1"/>
    <col min="5" max="5" style="30" width="22.005" customWidth="1" bestFit="1"/>
  </cols>
  <sheetData>
    <row x14ac:dyDescent="0.25" r="1" customHeight="1" ht="18.75">
      <c r="A1" s="17"/>
      <c r="B1" s="18"/>
      <c r="C1" s="19"/>
      <c r="D1" s="19"/>
      <c r="E1" s="19"/>
    </row>
    <row x14ac:dyDescent="0.25" r="2" customHeight="1" ht="18.75">
      <c r="A2" s="17"/>
      <c r="B2" s="20" t="s">
        <v>270</v>
      </c>
      <c r="C2" s="19"/>
      <c r="D2" s="19"/>
      <c r="E2" s="19"/>
    </row>
    <row x14ac:dyDescent="0.25" r="3" customHeight="1" ht="18.75">
      <c r="A3" s="17"/>
      <c r="B3" s="21" t="s">
        <v>271</v>
      </c>
      <c r="C3" s="19"/>
      <c r="D3" s="19"/>
      <c r="E3" s="19"/>
    </row>
    <row x14ac:dyDescent="0.25" r="4" customHeight="1" ht="18.75">
      <c r="A4" s="17"/>
      <c r="B4" s="18"/>
      <c r="C4" s="19"/>
      <c r="D4" s="19"/>
      <c r="E4" s="19"/>
    </row>
    <row x14ac:dyDescent="0.25" r="5" customHeight="1" ht="18.75">
      <c r="A5" s="17"/>
      <c r="B5" s="22" t="s">
        <v>272</v>
      </c>
      <c r="C5" s="22" t="s">
        <v>273</v>
      </c>
      <c r="D5" s="22" t="s">
        <v>274</v>
      </c>
      <c r="E5" s="22" t="s">
        <v>275</v>
      </c>
    </row>
    <row x14ac:dyDescent="0.25" r="6" customHeight="1" ht="18.75">
      <c r="A6" s="17"/>
      <c r="B6" s="23">
        <f>counta('Branch Directory'!A2:A101)</f>
      </c>
      <c r="C6" s="23">
        <f>sum('Branch Directory'!F2:F101)</f>
      </c>
      <c r="D6" s="24">
        <f>average('Branch Directory'!F2:F101)</f>
      </c>
      <c r="E6" s="23">
        <f>max('Branch Directory'!F2:F101)</f>
      </c>
    </row>
    <row x14ac:dyDescent="0.25" r="7" customHeight="1" ht="18.75">
      <c r="A7" s="17"/>
      <c r="B7" s="18"/>
      <c r="C7" s="19"/>
      <c r="D7" s="19"/>
      <c r="E7" s="19"/>
    </row>
    <row x14ac:dyDescent="0.25" r="8" customHeight="1" ht="18.75">
      <c r="A8" s="17"/>
      <c r="B8" s="18"/>
      <c r="C8" s="19"/>
      <c r="D8" s="19"/>
      <c r="E8" s="19"/>
    </row>
    <row x14ac:dyDescent="0.25" r="9" customHeight="1" ht="18.75">
      <c r="A9" s="17"/>
      <c r="B9" s="25" t="s">
        <v>276</v>
      </c>
      <c r="C9" s="19"/>
      <c r="D9" s="19"/>
      <c r="E9" s="19"/>
    </row>
    <row x14ac:dyDescent="0.25" r="10" customHeight="1" ht="22">
      <c r="A10" s="17"/>
      <c r="B10" s="1" t="s">
        <v>4</v>
      </c>
      <c r="C10" s="1" t="s">
        <v>277</v>
      </c>
      <c r="D10" s="1" t="s">
        <v>278</v>
      </c>
      <c r="E10" s="1" t="s">
        <v>279</v>
      </c>
    </row>
    <row x14ac:dyDescent="0.25" r="11" customHeight="1" ht="20">
      <c r="A11" s="17"/>
      <c r="B11" s="26" t="s">
        <v>27</v>
      </c>
      <c r="C11" s="27">
        <f>countif('Branch Directory'!$E$2:$E$101, "North")</f>
      </c>
      <c r="D11" s="27">
        <f>sumif('Branch Directory'!$E$2:$E$101, "North", 'Branch Directory'!$F$2:$F$101)</f>
      </c>
      <c r="E11" s="28">
        <f>IF(C11&gt;0, D11/C11, 0)</f>
      </c>
    </row>
    <row x14ac:dyDescent="0.25" r="12" customHeight="1" ht="20">
      <c r="A12" s="17"/>
      <c r="B12" s="26" t="s">
        <v>15</v>
      </c>
      <c r="C12" s="27">
        <f>countif('Branch Directory'!$E$2:$E$101, "South")</f>
      </c>
      <c r="D12" s="27">
        <f>sumif('Branch Directory'!$E$2:$E$101, "South", 'Branch Directory'!$F$2:$F$101)</f>
      </c>
      <c r="E12" s="28">
        <f>IF(C12&gt;0, D12/C12, 0)</f>
      </c>
    </row>
    <row x14ac:dyDescent="0.25" r="13" customHeight="1" ht="20">
      <c r="A13" s="17"/>
      <c r="B13" s="26" t="s">
        <v>10</v>
      </c>
      <c r="C13" s="27">
        <f>countif('Branch Directory'!$E$2:$E$101, "East")</f>
      </c>
      <c r="D13" s="27">
        <f>sumif('Branch Directory'!$E$2:$E$101, "East", 'Branch Directory'!$F$2:$F$101)</f>
      </c>
      <c r="E13" s="28">
        <f>IF(C13&gt;0, D13/C13, 0)</f>
      </c>
    </row>
    <row x14ac:dyDescent="0.25" r="14" customHeight="1" ht="20">
      <c r="A14" s="17"/>
      <c r="B14" s="26" t="s">
        <v>39</v>
      </c>
      <c r="C14" s="27">
        <f>countif('Branch Directory'!$E$2:$E$101, "West")</f>
      </c>
      <c r="D14" s="27">
        <f>sumif('Branch Directory'!$E$2:$E$101, "West", 'Branch Directory'!$F$2:$F$101)</f>
      </c>
      <c r="E14" s="28">
        <f>IF(C14&gt;0, D14/C14, 0)</f>
      </c>
    </row>
    <row x14ac:dyDescent="0.25" r="15" customHeight="1" ht="20">
      <c r="A15" s="17"/>
      <c r="B15" s="26" t="s">
        <v>48</v>
      </c>
      <c r="C15" s="27">
        <f>countif('Branch Directory'!$E$2:$E$101, "Central")</f>
      </c>
      <c r="D15" s="27">
        <f>sumif('Branch Directory'!$E$2:$E$101, "Central", 'Branch Directory'!$F$2:$F$101)</f>
      </c>
      <c r="E15" s="28">
        <f>IF(C15&gt;0, D15/C15, 0)</f>
      </c>
    </row>
    <row x14ac:dyDescent="0.25" r="16" customHeight="1" ht="22">
      <c r="A16" s="17"/>
      <c r="B16" s="12" t="s">
        <v>268</v>
      </c>
      <c r="C16" s="13">
        <f>SUM(C11:C15)</f>
      </c>
      <c r="D16" s="13">
        <f>SUM(D11:D15)</f>
      </c>
      <c r="E16" s="29">
        <f>average('Branch Directory'!F2:F101)</f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02"/>
  <sheetViews>
    <sheetView workbookViewId="0" tabSelected="1">
      <pane state="frozen" activePane="bottomLeft" topLeftCell="A3" ySplit="2" xSplit="0"/>
    </sheetView>
  </sheetViews>
  <sheetFormatPr defaultRowHeight="15" x14ac:dyDescent="0.25"/>
  <cols>
    <col min="1" max="1" style="14" width="29.005" customWidth="1" bestFit="1"/>
    <col min="2" max="2" style="14" width="32.005" customWidth="1" bestFit="1"/>
    <col min="3" max="3" style="14" width="23.005" customWidth="1" bestFit="1"/>
    <col min="4" max="4" style="14" width="19.005" customWidth="1" bestFit="1"/>
    <col min="5" max="5" style="15" width="17.005" customWidth="1" bestFit="1"/>
    <col min="6" max="6" style="16" width="18.005" customWidth="1" bestFit="1"/>
  </cols>
  <sheetData>
    <row x14ac:dyDescent="0.25" r="1" customHeight="1" ht="24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3" t="s">
        <v>5</v>
      </c>
    </row>
    <row x14ac:dyDescent="0.25" r="2" customHeight="1" ht="18.75">
      <c r="A2" s="4" t="s">
        <v>6</v>
      </c>
      <c r="B2" s="5" t="s">
        <v>7</v>
      </c>
      <c r="C2" s="5" t="s">
        <v>8</v>
      </c>
      <c r="D2" s="5" t="s">
        <v>9</v>
      </c>
      <c r="E2" s="4" t="s">
        <v>10</v>
      </c>
      <c r="F2" s="6">
        <v>168</v>
      </c>
    </row>
    <row x14ac:dyDescent="0.25" r="3" customHeight="1" ht="18.75">
      <c r="A3" s="7" t="s">
        <v>11</v>
      </c>
      <c r="B3" s="8" t="s">
        <v>12</v>
      </c>
      <c r="C3" s="8" t="s">
        <v>13</v>
      </c>
      <c r="D3" s="8" t="s">
        <v>14</v>
      </c>
      <c r="E3" s="7" t="s">
        <v>15</v>
      </c>
      <c r="F3" s="9">
        <v>42</v>
      </c>
    </row>
    <row x14ac:dyDescent="0.25" r="4" customHeight="1" ht="18.75">
      <c r="A4" s="4" t="s">
        <v>16</v>
      </c>
      <c r="B4" s="5" t="s">
        <v>17</v>
      </c>
      <c r="C4" s="5" t="s">
        <v>18</v>
      </c>
      <c r="D4" s="5" t="s">
        <v>19</v>
      </c>
      <c r="E4" s="4" t="s">
        <v>10</v>
      </c>
      <c r="F4" s="6">
        <v>84</v>
      </c>
    </row>
    <row x14ac:dyDescent="0.25" r="5" customHeight="1" ht="18.75">
      <c r="A5" s="7" t="s">
        <v>20</v>
      </c>
      <c r="B5" s="8" t="s">
        <v>21</v>
      </c>
      <c r="C5" s="8" t="s">
        <v>22</v>
      </c>
      <c r="D5" s="8" t="s">
        <v>9</v>
      </c>
      <c r="E5" s="7" t="s">
        <v>10</v>
      </c>
      <c r="F5" s="9">
        <v>103</v>
      </c>
    </row>
    <row x14ac:dyDescent="0.25" r="6" customHeight="1" ht="18.75">
      <c r="A6" s="4" t="s">
        <v>23</v>
      </c>
      <c r="B6" s="5" t="s">
        <v>24</v>
      </c>
      <c r="C6" s="5" t="s">
        <v>25</v>
      </c>
      <c r="D6" s="5" t="s">
        <v>26</v>
      </c>
      <c r="E6" s="4" t="s">
        <v>27</v>
      </c>
      <c r="F6" s="6">
        <v>84</v>
      </c>
    </row>
    <row x14ac:dyDescent="0.25" r="7" customHeight="1" ht="18.75">
      <c r="A7" s="7" t="s">
        <v>28</v>
      </c>
      <c r="B7" s="8" t="s">
        <v>29</v>
      </c>
      <c r="C7" s="8" t="s">
        <v>30</v>
      </c>
      <c r="D7" s="8" t="s">
        <v>14</v>
      </c>
      <c r="E7" s="7" t="s">
        <v>15</v>
      </c>
      <c r="F7" s="9">
        <v>48</v>
      </c>
    </row>
    <row x14ac:dyDescent="0.25" r="8" customHeight="1" ht="18.75">
      <c r="A8" s="4" t="s">
        <v>31</v>
      </c>
      <c r="B8" s="5" t="s">
        <v>32</v>
      </c>
      <c r="C8" s="5" t="s">
        <v>33</v>
      </c>
      <c r="D8" s="5" t="s">
        <v>34</v>
      </c>
      <c r="E8" s="4" t="s">
        <v>15</v>
      </c>
      <c r="F8" s="6">
        <v>71</v>
      </c>
    </row>
    <row x14ac:dyDescent="0.25" r="9" customHeight="1" ht="18.75">
      <c r="A9" s="7" t="s">
        <v>35</v>
      </c>
      <c r="B9" s="8" t="s">
        <v>36</v>
      </c>
      <c r="C9" s="8" t="s">
        <v>37</v>
      </c>
      <c r="D9" s="8" t="s">
        <v>38</v>
      </c>
      <c r="E9" s="7" t="s">
        <v>39</v>
      </c>
      <c r="F9" s="9">
        <v>167</v>
      </c>
    </row>
    <row x14ac:dyDescent="0.25" r="10" customHeight="1" ht="18.75">
      <c r="A10" s="4" t="s">
        <v>40</v>
      </c>
      <c r="B10" s="5" t="s">
        <v>41</v>
      </c>
      <c r="C10" s="5" t="s">
        <v>42</v>
      </c>
      <c r="D10" s="5" t="s">
        <v>43</v>
      </c>
      <c r="E10" s="4" t="s">
        <v>27</v>
      </c>
      <c r="F10" s="6">
        <v>150</v>
      </c>
    </row>
    <row x14ac:dyDescent="0.25" r="11" customHeight="1" ht="18.75">
      <c r="A11" s="7" t="s">
        <v>44</v>
      </c>
      <c r="B11" s="8" t="s">
        <v>45</v>
      </c>
      <c r="C11" s="8" t="s">
        <v>46</v>
      </c>
      <c r="D11" s="8" t="s">
        <v>47</v>
      </c>
      <c r="E11" s="7" t="s">
        <v>48</v>
      </c>
      <c r="F11" s="9">
        <v>91</v>
      </c>
    </row>
    <row x14ac:dyDescent="0.25" r="12" customHeight="1" ht="18.75">
      <c r="A12" s="4" t="s">
        <v>49</v>
      </c>
      <c r="B12" s="5" t="s">
        <v>50</v>
      </c>
      <c r="C12" s="5" t="s">
        <v>51</v>
      </c>
      <c r="D12" s="5" t="s">
        <v>52</v>
      </c>
      <c r="E12" s="4" t="s">
        <v>10</v>
      </c>
      <c r="F12" s="6">
        <v>133</v>
      </c>
    </row>
    <row x14ac:dyDescent="0.25" r="13" customHeight="1" ht="18.75">
      <c r="A13" s="7" t="s">
        <v>53</v>
      </c>
      <c r="B13" s="8" t="s">
        <v>54</v>
      </c>
      <c r="C13" s="8" t="s">
        <v>55</v>
      </c>
      <c r="D13" s="8" t="s">
        <v>56</v>
      </c>
      <c r="E13" s="7" t="s">
        <v>27</v>
      </c>
      <c r="F13" s="9">
        <v>46</v>
      </c>
    </row>
    <row x14ac:dyDescent="0.25" r="14" customHeight="1" ht="18.75">
      <c r="A14" s="4" t="s">
        <v>57</v>
      </c>
      <c r="B14" s="5" t="s">
        <v>58</v>
      </c>
      <c r="C14" s="5" t="s">
        <v>55</v>
      </c>
      <c r="D14" s="5" t="s">
        <v>56</v>
      </c>
      <c r="E14" s="4" t="s">
        <v>27</v>
      </c>
      <c r="F14" s="6">
        <v>107</v>
      </c>
    </row>
    <row x14ac:dyDescent="0.25" r="15" customHeight="1" ht="18.75">
      <c r="A15" s="7" t="s">
        <v>59</v>
      </c>
      <c r="B15" s="8" t="s">
        <v>60</v>
      </c>
      <c r="C15" s="8" t="s">
        <v>61</v>
      </c>
      <c r="D15" s="8" t="s">
        <v>62</v>
      </c>
      <c r="E15" s="7" t="s">
        <v>15</v>
      </c>
      <c r="F15" s="9">
        <v>196</v>
      </c>
    </row>
    <row x14ac:dyDescent="0.25" r="16" customHeight="1" ht="18.75">
      <c r="A16" s="4" t="s">
        <v>63</v>
      </c>
      <c r="B16" s="5" t="s">
        <v>64</v>
      </c>
      <c r="C16" s="5" t="s">
        <v>65</v>
      </c>
      <c r="D16" s="5" t="s">
        <v>52</v>
      </c>
      <c r="E16" s="4" t="s">
        <v>10</v>
      </c>
      <c r="F16" s="6">
        <v>114</v>
      </c>
    </row>
    <row x14ac:dyDescent="0.25" r="17" customHeight="1" ht="18.75">
      <c r="A17" s="7" t="s">
        <v>66</v>
      </c>
      <c r="B17" s="8" t="s">
        <v>67</v>
      </c>
      <c r="C17" s="8" t="s">
        <v>18</v>
      </c>
      <c r="D17" s="8" t="s">
        <v>19</v>
      </c>
      <c r="E17" s="7" t="s">
        <v>10</v>
      </c>
      <c r="F17" s="9">
        <v>131</v>
      </c>
    </row>
    <row x14ac:dyDescent="0.25" r="18" customHeight="1" ht="18.75">
      <c r="A18" s="4" t="s">
        <v>68</v>
      </c>
      <c r="B18" s="5" t="s">
        <v>69</v>
      </c>
      <c r="C18" s="5" t="s">
        <v>46</v>
      </c>
      <c r="D18" s="5" t="s">
        <v>47</v>
      </c>
      <c r="E18" s="4" t="s">
        <v>48</v>
      </c>
      <c r="F18" s="6">
        <v>88</v>
      </c>
    </row>
    <row x14ac:dyDescent="0.25" r="19" customHeight="1" ht="18.75">
      <c r="A19" s="7" t="s">
        <v>70</v>
      </c>
      <c r="B19" s="8" t="s">
        <v>71</v>
      </c>
      <c r="C19" s="8" t="s">
        <v>55</v>
      </c>
      <c r="D19" s="8" t="s">
        <v>56</v>
      </c>
      <c r="E19" s="7" t="s">
        <v>27</v>
      </c>
      <c r="F19" s="9">
        <v>133</v>
      </c>
    </row>
    <row x14ac:dyDescent="0.25" r="20" customHeight="1" ht="18.75">
      <c r="A20" s="4" t="s">
        <v>72</v>
      </c>
      <c r="B20" s="5" t="s">
        <v>73</v>
      </c>
      <c r="C20" s="5" t="s">
        <v>74</v>
      </c>
      <c r="D20" s="5" t="s">
        <v>75</v>
      </c>
      <c r="E20" s="4" t="s">
        <v>48</v>
      </c>
      <c r="F20" s="6">
        <v>137</v>
      </c>
    </row>
    <row x14ac:dyDescent="0.25" r="21" customHeight="1" ht="18.75">
      <c r="A21" s="7" t="s">
        <v>76</v>
      </c>
      <c r="B21" s="8" t="s">
        <v>77</v>
      </c>
      <c r="C21" s="8" t="s">
        <v>78</v>
      </c>
      <c r="D21" s="8" t="s">
        <v>38</v>
      </c>
      <c r="E21" s="7" t="s">
        <v>39</v>
      </c>
      <c r="F21" s="9">
        <v>85</v>
      </c>
    </row>
    <row x14ac:dyDescent="0.25" r="22" customHeight="1" ht="18.75">
      <c r="A22" s="4" t="s">
        <v>79</v>
      </c>
      <c r="B22" s="5" t="s">
        <v>80</v>
      </c>
      <c r="C22" s="5" t="s">
        <v>81</v>
      </c>
      <c r="D22" s="5" t="s">
        <v>82</v>
      </c>
      <c r="E22" s="4" t="s">
        <v>27</v>
      </c>
      <c r="F22" s="6">
        <v>118</v>
      </c>
    </row>
    <row x14ac:dyDescent="0.25" r="23" customHeight="1" ht="18.75">
      <c r="A23" s="7" t="s">
        <v>83</v>
      </c>
      <c r="B23" s="8" t="s">
        <v>84</v>
      </c>
      <c r="C23" s="8" t="s">
        <v>46</v>
      </c>
      <c r="D23" s="8" t="s">
        <v>47</v>
      </c>
      <c r="E23" s="7" t="s">
        <v>48</v>
      </c>
      <c r="F23" s="9">
        <v>124</v>
      </c>
    </row>
    <row x14ac:dyDescent="0.25" r="24" customHeight="1" ht="20">
      <c r="A24" s="4" t="s">
        <v>85</v>
      </c>
      <c r="B24" s="5" t="s">
        <v>86</v>
      </c>
      <c r="C24" s="5" t="s">
        <v>87</v>
      </c>
      <c r="D24" s="5" t="s">
        <v>75</v>
      </c>
      <c r="E24" s="4" t="s">
        <v>48</v>
      </c>
      <c r="F24" s="6">
        <v>32</v>
      </c>
    </row>
    <row x14ac:dyDescent="0.25" r="25" customHeight="1" ht="20">
      <c r="A25" s="7" t="s">
        <v>88</v>
      </c>
      <c r="B25" s="8" t="s">
        <v>89</v>
      </c>
      <c r="C25" s="8" t="s">
        <v>33</v>
      </c>
      <c r="D25" s="8" t="s">
        <v>34</v>
      </c>
      <c r="E25" s="7" t="s">
        <v>15</v>
      </c>
      <c r="F25" s="9">
        <v>69</v>
      </c>
    </row>
    <row x14ac:dyDescent="0.25" r="26" customHeight="1" ht="20">
      <c r="A26" s="4" t="s">
        <v>90</v>
      </c>
      <c r="B26" s="5" t="s">
        <v>91</v>
      </c>
      <c r="C26" s="5" t="s">
        <v>92</v>
      </c>
      <c r="D26" s="5" t="s">
        <v>38</v>
      </c>
      <c r="E26" s="4" t="s">
        <v>39</v>
      </c>
      <c r="F26" s="6">
        <v>76</v>
      </c>
    </row>
    <row x14ac:dyDescent="0.25" r="27" customHeight="1" ht="20">
      <c r="A27" s="7" t="s">
        <v>93</v>
      </c>
      <c r="B27" s="8" t="s">
        <v>94</v>
      </c>
      <c r="C27" s="8" t="s">
        <v>95</v>
      </c>
      <c r="D27" s="8" t="s">
        <v>96</v>
      </c>
      <c r="E27" s="7" t="s">
        <v>15</v>
      </c>
      <c r="F27" s="9">
        <v>68</v>
      </c>
    </row>
    <row x14ac:dyDescent="0.25" r="28" customHeight="1" ht="20">
      <c r="A28" s="4" t="s">
        <v>97</v>
      </c>
      <c r="B28" s="5" t="s">
        <v>98</v>
      </c>
      <c r="C28" s="5" t="s">
        <v>99</v>
      </c>
      <c r="D28" s="5" t="s">
        <v>56</v>
      </c>
      <c r="E28" s="4" t="s">
        <v>27</v>
      </c>
      <c r="F28" s="6">
        <v>216</v>
      </c>
    </row>
    <row x14ac:dyDescent="0.25" r="29" customHeight="1" ht="20">
      <c r="A29" s="7" t="s">
        <v>100</v>
      </c>
      <c r="B29" s="8" t="s">
        <v>101</v>
      </c>
      <c r="C29" s="8" t="s">
        <v>42</v>
      </c>
      <c r="D29" s="8" t="s">
        <v>43</v>
      </c>
      <c r="E29" s="7" t="s">
        <v>27</v>
      </c>
      <c r="F29" s="9">
        <v>175</v>
      </c>
    </row>
    <row x14ac:dyDescent="0.25" r="30" customHeight="1" ht="20">
      <c r="A30" s="4" t="s">
        <v>102</v>
      </c>
      <c r="B30" s="5" t="s">
        <v>103</v>
      </c>
      <c r="C30" s="5" t="s">
        <v>104</v>
      </c>
      <c r="D30" s="5" t="s">
        <v>26</v>
      </c>
      <c r="E30" s="4" t="s">
        <v>27</v>
      </c>
      <c r="F30" s="6">
        <v>157</v>
      </c>
    </row>
    <row x14ac:dyDescent="0.25" r="31" customHeight="1" ht="20">
      <c r="A31" s="7" t="s">
        <v>105</v>
      </c>
      <c r="B31" s="8" t="s">
        <v>106</v>
      </c>
      <c r="C31" s="8" t="s">
        <v>107</v>
      </c>
      <c r="D31" s="8" t="s">
        <v>26</v>
      </c>
      <c r="E31" s="7" t="s">
        <v>27</v>
      </c>
      <c r="F31" s="9">
        <v>76</v>
      </c>
    </row>
    <row x14ac:dyDescent="0.25" r="32" customHeight="1" ht="20">
      <c r="A32" s="4" t="s">
        <v>108</v>
      </c>
      <c r="B32" s="5" t="s">
        <v>109</v>
      </c>
      <c r="C32" s="5" t="s">
        <v>110</v>
      </c>
      <c r="D32" s="5" t="s">
        <v>111</v>
      </c>
      <c r="E32" s="4" t="s">
        <v>10</v>
      </c>
      <c r="F32" s="6">
        <v>204</v>
      </c>
    </row>
    <row x14ac:dyDescent="0.25" r="33" customHeight="1" ht="20">
      <c r="A33" s="7" t="s">
        <v>112</v>
      </c>
      <c r="B33" s="8" t="s">
        <v>113</v>
      </c>
      <c r="C33" s="8" t="s">
        <v>78</v>
      </c>
      <c r="D33" s="8" t="s">
        <v>38</v>
      </c>
      <c r="E33" s="7" t="s">
        <v>39</v>
      </c>
      <c r="F33" s="9">
        <v>46</v>
      </c>
    </row>
    <row x14ac:dyDescent="0.25" r="34" customHeight="1" ht="20">
      <c r="A34" s="4" t="s">
        <v>114</v>
      </c>
      <c r="B34" s="5" t="s">
        <v>115</v>
      </c>
      <c r="C34" s="5" t="s">
        <v>92</v>
      </c>
      <c r="D34" s="5" t="s">
        <v>38</v>
      </c>
      <c r="E34" s="4" t="s">
        <v>39</v>
      </c>
      <c r="F34" s="6">
        <v>118</v>
      </c>
    </row>
    <row x14ac:dyDescent="0.25" r="35" customHeight="1" ht="20">
      <c r="A35" s="7" t="s">
        <v>116</v>
      </c>
      <c r="B35" s="8" t="s">
        <v>117</v>
      </c>
      <c r="C35" s="8" t="s">
        <v>81</v>
      </c>
      <c r="D35" s="8" t="s">
        <v>82</v>
      </c>
      <c r="E35" s="7" t="s">
        <v>27</v>
      </c>
      <c r="F35" s="9">
        <v>143</v>
      </c>
    </row>
    <row x14ac:dyDescent="0.25" r="36" customHeight="1" ht="20">
      <c r="A36" s="4" t="s">
        <v>118</v>
      </c>
      <c r="B36" s="5" t="s">
        <v>119</v>
      </c>
      <c r="C36" s="5" t="s">
        <v>120</v>
      </c>
      <c r="D36" s="5" t="s">
        <v>121</v>
      </c>
      <c r="E36" s="4" t="s">
        <v>39</v>
      </c>
      <c r="F36" s="6">
        <v>210</v>
      </c>
    </row>
    <row x14ac:dyDescent="0.25" r="37" customHeight="1" ht="20">
      <c r="A37" s="7" t="s">
        <v>122</v>
      </c>
      <c r="B37" s="8" t="s">
        <v>123</v>
      </c>
      <c r="C37" s="8" t="s">
        <v>65</v>
      </c>
      <c r="D37" s="8" t="s">
        <v>52</v>
      </c>
      <c r="E37" s="7" t="s">
        <v>10</v>
      </c>
      <c r="F37" s="9">
        <v>184</v>
      </c>
    </row>
    <row x14ac:dyDescent="0.25" r="38" customHeight="1" ht="20">
      <c r="A38" s="4" t="s">
        <v>124</v>
      </c>
      <c r="B38" s="5" t="s">
        <v>125</v>
      </c>
      <c r="C38" s="5" t="s">
        <v>126</v>
      </c>
      <c r="D38" s="5" t="s">
        <v>127</v>
      </c>
      <c r="E38" s="4" t="s">
        <v>27</v>
      </c>
      <c r="F38" s="6">
        <v>193</v>
      </c>
    </row>
    <row x14ac:dyDescent="0.25" r="39" customHeight="1" ht="20">
      <c r="A39" s="7" t="s">
        <v>128</v>
      </c>
      <c r="B39" s="8" t="s">
        <v>129</v>
      </c>
      <c r="C39" s="8" t="s">
        <v>130</v>
      </c>
      <c r="D39" s="8" t="s">
        <v>121</v>
      </c>
      <c r="E39" s="7" t="s">
        <v>39</v>
      </c>
      <c r="F39" s="9">
        <v>75</v>
      </c>
    </row>
    <row x14ac:dyDescent="0.25" r="40" customHeight="1" ht="20">
      <c r="A40" s="4" t="s">
        <v>131</v>
      </c>
      <c r="B40" s="5" t="s">
        <v>132</v>
      </c>
      <c r="C40" s="5" t="s">
        <v>46</v>
      </c>
      <c r="D40" s="5" t="s">
        <v>47</v>
      </c>
      <c r="E40" s="4" t="s">
        <v>48</v>
      </c>
      <c r="F40" s="6">
        <v>218</v>
      </c>
    </row>
    <row x14ac:dyDescent="0.25" r="41" customHeight="1" ht="20">
      <c r="A41" s="7" t="s">
        <v>133</v>
      </c>
      <c r="B41" s="8" t="s">
        <v>134</v>
      </c>
      <c r="C41" s="8" t="s">
        <v>135</v>
      </c>
      <c r="D41" s="8" t="s">
        <v>136</v>
      </c>
      <c r="E41" s="7" t="s">
        <v>27</v>
      </c>
      <c r="F41" s="9">
        <v>65</v>
      </c>
    </row>
    <row x14ac:dyDescent="0.25" r="42" customHeight="1" ht="20">
      <c r="A42" s="4" t="s">
        <v>137</v>
      </c>
      <c r="B42" s="5" t="s">
        <v>138</v>
      </c>
      <c r="C42" s="5" t="s">
        <v>37</v>
      </c>
      <c r="D42" s="5" t="s">
        <v>38</v>
      </c>
      <c r="E42" s="4" t="s">
        <v>39</v>
      </c>
      <c r="F42" s="6">
        <v>109</v>
      </c>
    </row>
    <row x14ac:dyDescent="0.25" r="43" customHeight="1" ht="20">
      <c r="A43" s="7" t="s">
        <v>139</v>
      </c>
      <c r="B43" s="8" t="s">
        <v>140</v>
      </c>
      <c r="C43" s="8" t="s">
        <v>30</v>
      </c>
      <c r="D43" s="8" t="s">
        <v>14</v>
      </c>
      <c r="E43" s="7" t="s">
        <v>15</v>
      </c>
      <c r="F43" s="9">
        <v>47</v>
      </c>
    </row>
    <row x14ac:dyDescent="0.25" r="44" customHeight="1" ht="20">
      <c r="A44" s="4" t="s">
        <v>141</v>
      </c>
      <c r="B44" s="5" t="s">
        <v>142</v>
      </c>
      <c r="C44" s="5" t="s">
        <v>143</v>
      </c>
      <c r="D44" s="5" t="s">
        <v>38</v>
      </c>
      <c r="E44" s="4" t="s">
        <v>39</v>
      </c>
      <c r="F44" s="6">
        <v>170</v>
      </c>
    </row>
    <row x14ac:dyDescent="0.25" r="45" customHeight="1" ht="20">
      <c r="A45" s="7" t="s">
        <v>144</v>
      </c>
      <c r="B45" s="8" t="s">
        <v>145</v>
      </c>
      <c r="C45" s="8" t="s">
        <v>110</v>
      </c>
      <c r="D45" s="8" t="s">
        <v>111</v>
      </c>
      <c r="E45" s="7" t="s">
        <v>10</v>
      </c>
      <c r="F45" s="9">
        <v>148</v>
      </c>
    </row>
    <row x14ac:dyDescent="0.25" r="46" customHeight="1" ht="20">
      <c r="A46" s="4" t="s">
        <v>146</v>
      </c>
      <c r="B46" s="5" t="s">
        <v>147</v>
      </c>
      <c r="C46" s="5" t="s">
        <v>143</v>
      </c>
      <c r="D46" s="5" t="s">
        <v>38</v>
      </c>
      <c r="E46" s="4" t="s">
        <v>39</v>
      </c>
      <c r="F46" s="6">
        <v>101</v>
      </c>
    </row>
    <row x14ac:dyDescent="0.25" r="47" customHeight="1" ht="20">
      <c r="A47" s="7" t="s">
        <v>148</v>
      </c>
      <c r="B47" s="8" t="s">
        <v>149</v>
      </c>
      <c r="C47" s="8" t="s">
        <v>150</v>
      </c>
      <c r="D47" s="8" t="s">
        <v>19</v>
      </c>
      <c r="E47" s="7" t="s">
        <v>10</v>
      </c>
      <c r="F47" s="9">
        <v>53</v>
      </c>
    </row>
    <row x14ac:dyDescent="0.25" r="48" customHeight="1" ht="20">
      <c r="A48" s="4" t="s">
        <v>151</v>
      </c>
      <c r="B48" s="5" t="s">
        <v>152</v>
      </c>
      <c r="C48" s="5" t="s">
        <v>95</v>
      </c>
      <c r="D48" s="5" t="s">
        <v>96</v>
      </c>
      <c r="E48" s="4" t="s">
        <v>15</v>
      </c>
      <c r="F48" s="6">
        <v>94</v>
      </c>
    </row>
    <row x14ac:dyDescent="0.25" r="49" customHeight="1" ht="20">
      <c r="A49" s="7" t="s">
        <v>153</v>
      </c>
      <c r="B49" s="8" t="s">
        <v>154</v>
      </c>
      <c r="C49" s="8" t="s">
        <v>126</v>
      </c>
      <c r="D49" s="8" t="s">
        <v>127</v>
      </c>
      <c r="E49" s="7" t="s">
        <v>27</v>
      </c>
      <c r="F49" s="9">
        <v>138</v>
      </c>
    </row>
    <row x14ac:dyDescent="0.25" r="50" customHeight="1" ht="20">
      <c r="A50" s="4" t="s">
        <v>155</v>
      </c>
      <c r="B50" s="5" t="s">
        <v>156</v>
      </c>
      <c r="C50" s="5" t="s">
        <v>120</v>
      </c>
      <c r="D50" s="5" t="s">
        <v>121</v>
      </c>
      <c r="E50" s="4" t="s">
        <v>39</v>
      </c>
      <c r="F50" s="6">
        <v>111</v>
      </c>
    </row>
    <row x14ac:dyDescent="0.25" r="51" customHeight="1" ht="20">
      <c r="A51" s="7" t="s">
        <v>157</v>
      </c>
      <c r="B51" s="8" t="s">
        <v>158</v>
      </c>
      <c r="C51" s="8" t="s">
        <v>159</v>
      </c>
      <c r="D51" s="8" t="s">
        <v>34</v>
      </c>
      <c r="E51" s="7" t="s">
        <v>15</v>
      </c>
      <c r="F51" s="9">
        <v>101</v>
      </c>
    </row>
    <row x14ac:dyDescent="0.25" r="52" customHeight="1" ht="20">
      <c r="A52" s="4" t="s">
        <v>160</v>
      </c>
      <c r="B52" s="5" t="s">
        <v>161</v>
      </c>
      <c r="C52" s="5" t="s">
        <v>162</v>
      </c>
      <c r="D52" s="5" t="s">
        <v>163</v>
      </c>
      <c r="E52" s="4" t="s">
        <v>10</v>
      </c>
      <c r="F52" s="6">
        <v>33</v>
      </c>
    </row>
    <row x14ac:dyDescent="0.25" r="53" customHeight="1" ht="20">
      <c r="A53" s="7" t="s">
        <v>164</v>
      </c>
      <c r="B53" s="8" t="s">
        <v>165</v>
      </c>
      <c r="C53" s="8" t="s">
        <v>78</v>
      </c>
      <c r="D53" s="8" t="s">
        <v>38</v>
      </c>
      <c r="E53" s="7" t="s">
        <v>39</v>
      </c>
      <c r="F53" s="9">
        <v>131</v>
      </c>
    </row>
    <row x14ac:dyDescent="0.25" r="54" customHeight="1" ht="20">
      <c r="A54" s="4" t="s">
        <v>166</v>
      </c>
      <c r="B54" s="5" t="s">
        <v>167</v>
      </c>
      <c r="C54" s="5" t="s">
        <v>65</v>
      </c>
      <c r="D54" s="5" t="s">
        <v>52</v>
      </c>
      <c r="E54" s="4" t="s">
        <v>10</v>
      </c>
      <c r="F54" s="6">
        <v>197</v>
      </c>
    </row>
    <row x14ac:dyDescent="0.25" r="55" customHeight="1" ht="20">
      <c r="A55" s="7" t="s">
        <v>168</v>
      </c>
      <c r="B55" s="8" t="s">
        <v>169</v>
      </c>
      <c r="C55" s="8" t="s">
        <v>170</v>
      </c>
      <c r="D55" s="8" t="s">
        <v>9</v>
      </c>
      <c r="E55" s="7" t="s">
        <v>10</v>
      </c>
      <c r="F55" s="9">
        <v>116</v>
      </c>
    </row>
    <row x14ac:dyDescent="0.25" r="56" customHeight="1" ht="20">
      <c r="A56" s="4" t="s">
        <v>171</v>
      </c>
      <c r="B56" s="5" t="s">
        <v>172</v>
      </c>
      <c r="C56" s="5" t="s">
        <v>159</v>
      </c>
      <c r="D56" s="5" t="s">
        <v>34</v>
      </c>
      <c r="E56" s="4" t="s">
        <v>15</v>
      </c>
      <c r="F56" s="6">
        <v>99</v>
      </c>
    </row>
    <row x14ac:dyDescent="0.25" r="57" customHeight="1" ht="20">
      <c r="A57" s="7" t="s">
        <v>173</v>
      </c>
      <c r="B57" s="8" t="s">
        <v>174</v>
      </c>
      <c r="C57" s="8" t="s">
        <v>104</v>
      </c>
      <c r="D57" s="8" t="s">
        <v>26</v>
      </c>
      <c r="E57" s="7" t="s">
        <v>27</v>
      </c>
      <c r="F57" s="9">
        <v>80</v>
      </c>
    </row>
    <row x14ac:dyDescent="0.25" r="58" customHeight="1" ht="20">
      <c r="A58" s="4" t="s">
        <v>175</v>
      </c>
      <c r="B58" s="5" t="s">
        <v>176</v>
      </c>
      <c r="C58" s="5" t="s">
        <v>135</v>
      </c>
      <c r="D58" s="5" t="s">
        <v>136</v>
      </c>
      <c r="E58" s="4" t="s">
        <v>27</v>
      </c>
      <c r="F58" s="6">
        <v>167</v>
      </c>
    </row>
    <row x14ac:dyDescent="0.25" r="59" customHeight="1" ht="20">
      <c r="A59" s="7" t="s">
        <v>177</v>
      </c>
      <c r="B59" s="8" t="s">
        <v>178</v>
      </c>
      <c r="C59" s="8" t="s">
        <v>179</v>
      </c>
      <c r="D59" s="8" t="s">
        <v>180</v>
      </c>
      <c r="E59" s="7" t="s">
        <v>15</v>
      </c>
      <c r="F59" s="9">
        <v>34</v>
      </c>
    </row>
    <row x14ac:dyDescent="0.25" r="60" customHeight="1" ht="20">
      <c r="A60" s="4" t="s">
        <v>181</v>
      </c>
      <c r="B60" s="5" t="s">
        <v>182</v>
      </c>
      <c r="C60" s="5" t="s">
        <v>130</v>
      </c>
      <c r="D60" s="5" t="s">
        <v>121</v>
      </c>
      <c r="E60" s="4" t="s">
        <v>39</v>
      </c>
      <c r="F60" s="6">
        <v>118</v>
      </c>
    </row>
    <row x14ac:dyDescent="0.25" r="61" customHeight="1" ht="20">
      <c r="A61" s="7" t="s">
        <v>183</v>
      </c>
      <c r="B61" s="8" t="s">
        <v>149</v>
      </c>
      <c r="C61" s="8" t="s">
        <v>150</v>
      </c>
      <c r="D61" s="8" t="s">
        <v>19</v>
      </c>
      <c r="E61" s="7" t="s">
        <v>10</v>
      </c>
      <c r="F61" s="9">
        <v>133</v>
      </c>
    </row>
    <row x14ac:dyDescent="0.25" r="62" customHeight="1" ht="20">
      <c r="A62" s="4" t="s">
        <v>184</v>
      </c>
      <c r="B62" s="5" t="s">
        <v>98</v>
      </c>
      <c r="C62" s="5" t="s">
        <v>99</v>
      </c>
      <c r="D62" s="5" t="s">
        <v>56</v>
      </c>
      <c r="E62" s="4" t="s">
        <v>27</v>
      </c>
      <c r="F62" s="6">
        <v>43</v>
      </c>
    </row>
    <row x14ac:dyDescent="0.25" r="63" customHeight="1" ht="20">
      <c r="A63" s="7" t="s">
        <v>185</v>
      </c>
      <c r="B63" s="8" t="s">
        <v>186</v>
      </c>
      <c r="C63" s="8" t="s">
        <v>74</v>
      </c>
      <c r="D63" s="8" t="s">
        <v>75</v>
      </c>
      <c r="E63" s="7" t="s">
        <v>48</v>
      </c>
      <c r="F63" s="9">
        <v>162</v>
      </c>
    </row>
    <row x14ac:dyDescent="0.25" r="64" customHeight="1" ht="20">
      <c r="A64" s="4" t="s">
        <v>187</v>
      </c>
      <c r="B64" s="5" t="s">
        <v>188</v>
      </c>
      <c r="C64" s="5" t="s">
        <v>189</v>
      </c>
      <c r="D64" s="5" t="s">
        <v>38</v>
      </c>
      <c r="E64" s="4" t="s">
        <v>39</v>
      </c>
      <c r="F64" s="6">
        <v>67</v>
      </c>
    </row>
    <row x14ac:dyDescent="0.25" r="65" customHeight="1" ht="20">
      <c r="A65" s="7" t="s">
        <v>190</v>
      </c>
      <c r="B65" s="8" t="s">
        <v>191</v>
      </c>
      <c r="C65" s="8" t="s">
        <v>18</v>
      </c>
      <c r="D65" s="8" t="s">
        <v>19</v>
      </c>
      <c r="E65" s="7" t="s">
        <v>10</v>
      </c>
      <c r="F65" s="9">
        <v>67</v>
      </c>
    </row>
    <row x14ac:dyDescent="0.25" r="66" customHeight="1" ht="20">
      <c r="A66" s="4" t="s">
        <v>192</v>
      </c>
      <c r="B66" s="5" t="s">
        <v>193</v>
      </c>
      <c r="C66" s="5" t="s">
        <v>30</v>
      </c>
      <c r="D66" s="5" t="s">
        <v>14</v>
      </c>
      <c r="E66" s="4" t="s">
        <v>15</v>
      </c>
      <c r="F66" s="6">
        <v>124</v>
      </c>
    </row>
    <row x14ac:dyDescent="0.25" r="67" customHeight="1" ht="20">
      <c r="A67" s="7" t="s">
        <v>194</v>
      </c>
      <c r="B67" s="8" t="s">
        <v>195</v>
      </c>
      <c r="C67" s="8" t="s">
        <v>196</v>
      </c>
      <c r="D67" s="8" t="s">
        <v>38</v>
      </c>
      <c r="E67" s="7" t="s">
        <v>39</v>
      </c>
      <c r="F67" s="9">
        <v>200</v>
      </c>
    </row>
    <row x14ac:dyDescent="0.25" r="68" customHeight="1" ht="20">
      <c r="A68" s="4" t="s">
        <v>197</v>
      </c>
      <c r="B68" s="5" t="s">
        <v>198</v>
      </c>
      <c r="C68" s="5" t="s">
        <v>199</v>
      </c>
      <c r="D68" s="5" t="s">
        <v>62</v>
      </c>
      <c r="E68" s="4" t="s">
        <v>15</v>
      </c>
      <c r="F68" s="6">
        <v>201</v>
      </c>
    </row>
    <row x14ac:dyDescent="0.25" r="69" customHeight="1" ht="20">
      <c r="A69" s="7" t="s">
        <v>200</v>
      </c>
      <c r="B69" s="8" t="s">
        <v>149</v>
      </c>
      <c r="C69" s="8" t="s">
        <v>150</v>
      </c>
      <c r="D69" s="8" t="s">
        <v>19</v>
      </c>
      <c r="E69" s="7" t="s">
        <v>10</v>
      </c>
      <c r="F69" s="9">
        <v>161</v>
      </c>
    </row>
    <row x14ac:dyDescent="0.25" r="70" customHeight="1" ht="20">
      <c r="A70" s="4" t="s">
        <v>201</v>
      </c>
      <c r="B70" s="5" t="s">
        <v>202</v>
      </c>
      <c r="C70" s="5" t="s">
        <v>18</v>
      </c>
      <c r="D70" s="5" t="s">
        <v>19</v>
      </c>
      <c r="E70" s="4" t="s">
        <v>10</v>
      </c>
      <c r="F70" s="6">
        <v>170</v>
      </c>
    </row>
    <row x14ac:dyDescent="0.25" r="71" customHeight="1" ht="20">
      <c r="A71" s="7" t="s">
        <v>203</v>
      </c>
      <c r="B71" s="8" t="s">
        <v>204</v>
      </c>
      <c r="C71" s="8" t="s">
        <v>61</v>
      </c>
      <c r="D71" s="8" t="s">
        <v>62</v>
      </c>
      <c r="E71" s="7" t="s">
        <v>15</v>
      </c>
      <c r="F71" s="9">
        <v>147</v>
      </c>
    </row>
    <row x14ac:dyDescent="0.25" r="72" customHeight="1" ht="20">
      <c r="A72" s="4" t="s">
        <v>205</v>
      </c>
      <c r="B72" s="5" t="s">
        <v>206</v>
      </c>
      <c r="C72" s="5" t="s">
        <v>81</v>
      </c>
      <c r="D72" s="5" t="s">
        <v>82</v>
      </c>
      <c r="E72" s="4" t="s">
        <v>27</v>
      </c>
      <c r="F72" s="6">
        <v>111</v>
      </c>
    </row>
    <row x14ac:dyDescent="0.25" r="73" customHeight="1" ht="20">
      <c r="A73" s="7" t="s">
        <v>207</v>
      </c>
      <c r="B73" s="8" t="s">
        <v>208</v>
      </c>
      <c r="C73" s="8" t="s">
        <v>209</v>
      </c>
      <c r="D73" s="8" t="s">
        <v>180</v>
      </c>
      <c r="E73" s="7" t="s">
        <v>15</v>
      </c>
      <c r="F73" s="9">
        <v>107</v>
      </c>
    </row>
    <row x14ac:dyDescent="0.25" r="74" customHeight="1" ht="20">
      <c r="A74" s="4" t="s">
        <v>210</v>
      </c>
      <c r="B74" s="5" t="s">
        <v>211</v>
      </c>
      <c r="C74" s="5" t="s">
        <v>74</v>
      </c>
      <c r="D74" s="5" t="s">
        <v>75</v>
      </c>
      <c r="E74" s="4" t="s">
        <v>48</v>
      </c>
      <c r="F74" s="6">
        <v>91</v>
      </c>
    </row>
    <row x14ac:dyDescent="0.25" r="75" customHeight="1" ht="20">
      <c r="A75" s="7" t="s">
        <v>212</v>
      </c>
      <c r="B75" s="8" t="s">
        <v>54</v>
      </c>
      <c r="C75" s="8" t="s">
        <v>55</v>
      </c>
      <c r="D75" s="8" t="s">
        <v>56</v>
      </c>
      <c r="E75" s="7" t="s">
        <v>27</v>
      </c>
      <c r="F75" s="9">
        <v>146</v>
      </c>
    </row>
    <row x14ac:dyDescent="0.25" r="76" customHeight="1" ht="20">
      <c r="A76" s="4" t="s">
        <v>213</v>
      </c>
      <c r="B76" s="5" t="s">
        <v>214</v>
      </c>
      <c r="C76" s="5" t="s">
        <v>209</v>
      </c>
      <c r="D76" s="5" t="s">
        <v>180</v>
      </c>
      <c r="E76" s="4" t="s">
        <v>15</v>
      </c>
      <c r="F76" s="6">
        <v>40</v>
      </c>
    </row>
    <row x14ac:dyDescent="0.25" r="77" customHeight="1" ht="20">
      <c r="A77" s="7" t="s">
        <v>215</v>
      </c>
      <c r="B77" s="8" t="s">
        <v>216</v>
      </c>
      <c r="C77" s="8" t="s">
        <v>159</v>
      </c>
      <c r="D77" s="8" t="s">
        <v>34</v>
      </c>
      <c r="E77" s="7" t="s">
        <v>15</v>
      </c>
      <c r="F77" s="9">
        <v>178</v>
      </c>
    </row>
    <row x14ac:dyDescent="0.25" r="78" customHeight="1" ht="20">
      <c r="A78" s="4" t="s">
        <v>217</v>
      </c>
      <c r="B78" s="5" t="s">
        <v>218</v>
      </c>
      <c r="C78" s="5" t="s">
        <v>30</v>
      </c>
      <c r="D78" s="5" t="s">
        <v>14</v>
      </c>
      <c r="E78" s="4" t="s">
        <v>15</v>
      </c>
      <c r="F78" s="6">
        <v>142</v>
      </c>
    </row>
    <row x14ac:dyDescent="0.25" r="79" customHeight="1" ht="20">
      <c r="A79" s="7" t="s">
        <v>219</v>
      </c>
      <c r="B79" s="8" t="s">
        <v>220</v>
      </c>
      <c r="C79" s="8" t="s">
        <v>221</v>
      </c>
      <c r="D79" s="8" t="s">
        <v>127</v>
      </c>
      <c r="E79" s="7" t="s">
        <v>27</v>
      </c>
      <c r="F79" s="9">
        <v>43</v>
      </c>
    </row>
    <row x14ac:dyDescent="0.25" r="80" customHeight="1" ht="20">
      <c r="A80" s="4" t="s">
        <v>222</v>
      </c>
      <c r="B80" s="5" t="s">
        <v>223</v>
      </c>
      <c r="C80" s="5" t="s">
        <v>95</v>
      </c>
      <c r="D80" s="5" t="s">
        <v>96</v>
      </c>
      <c r="E80" s="4" t="s">
        <v>15</v>
      </c>
      <c r="F80" s="6">
        <v>211</v>
      </c>
    </row>
    <row x14ac:dyDescent="0.25" r="81" customHeight="1" ht="20">
      <c r="A81" s="7" t="s">
        <v>224</v>
      </c>
      <c r="B81" s="8" t="s">
        <v>225</v>
      </c>
      <c r="C81" s="8" t="s">
        <v>61</v>
      </c>
      <c r="D81" s="8" t="s">
        <v>62</v>
      </c>
      <c r="E81" s="7" t="s">
        <v>15</v>
      </c>
      <c r="F81" s="9">
        <v>149</v>
      </c>
    </row>
    <row x14ac:dyDescent="0.25" r="82" customHeight="1" ht="20">
      <c r="A82" s="4" t="s">
        <v>226</v>
      </c>
      <c r="B82" s="5" t="s">
        <v>227</v>
      </c>
      <c r="C82" s="5" t="s">
        <v>65</v>
      </c>
      <c r="D82" s="5" t="s">
        <v>52</v>
      </c>
      <c r="E82" s="4" t="s">
        <v>10</v>
      </c>
      <c r="F82" s="6">
        <v>33</v>
      </c>
    </row>
    <row x14ac:dyDescent="0.25" r="83" customHeight="1" ht="20">
      <c r="A83" s="7" t="s">
        <v>228</v>
      </c>
      <c r="B83" s="8" t="s">
        <v>229</v>
      </c>
      <c r="C83" s="8" t="s">
        <v>230</v>
      </c>
      <c r="D83" s="8" t="s">
        <v>56</v>
      </c>
      <c r="E83" s="7" t="s">
        <v>27</v>
      </c>
      <c r="F83" s="9">
        <v>200</v>
      </c>
    </row>
    <row x14ac:dyDescent="0.25" r="84" customHeight="1" ht="20">
      <c r="A84" s="4" t="s">
        <v>231</v>
      </c>
      <c r="B84" s="5" t="s">
        <v>232</v>
      </c>
      <c r="C84" s="5" t="s">
        <v>95</v>
      </c>
      <c r="D84" s="5" t="s">
        <v>96</v>
      </c>
      <c r="E84" s="4" t="s">
        <v>15</v>
      </c>
      <c r="F84" s="6">
        <v>187</v>
      </c>
    </row>
    <row x14ac:dyDescent="0.25" r="85" customHeight="1" ht="20">
      <c r="A85" s="7" t="s">
        <v>233</v>
      </c>
      <c r="B85" s="8" t="s">
        <v>234</v>
      </c>
      <c r="C85" s="8" t="s">
        <v>235</v>
      </c>
      <c r="D85" s="8" t="s">
        <v>121</v>
      </c>
      <c r="E85" s="7" t="s">
        <v>39</v>
      </c>
      <c r="F85" s="9">
        <v>192</v>
      </c>
    </row>
    <row x14ac:dyDescent="0.25" r="86" customHeight="1" ht="20">
      <c r="A86" s="4" t="s">
        <v>236</v>
      </c>
      <c r="B86" s="5" t="s">
        <v>237</v>
      </c>
      <c r="C86" s="5" t="s">
        <v>143</v>
      </c>
      <c r="D86" s="5" t="s">
        <v>38</v>
      </c>
      <c r="E86" s="4" t="s">
        <v>39</v>
      </c>
      <c r="F86" s="6">
        <v>207</v>
      </c>
    </row>
    <row x14ac:dyDescent="0.25" r="87" customHeight="1" ht="20">
      <c r="A87" s="7" t="s">
        <v>238</v>
      </c>
      <c r="B87" s="8" t="s">
        <v>239</v>
      </c>
      <c r="C87" s="8" t="s">
        <v>95</v>
      </c>
      <c r="D87" s="8" t="s">
        <v>96</v>
      </c>
      <c r="E87" s="7" t="s">
        <v>15</v>
      </c>
      <c r="F87" s="9">
        <v>193</v>
      </c>
    </row>
    <row x14ac:dyDescent="0.25" r="88" customHeight="1" ht="20">
      <c r="A88" s="4" t="s">
        <v>240</v>
      </c>
      <c r="B88" s="5" t="s">
        <v>241</v>
      </c>
      <c r="C88" s="5" t="s">
        <v>120</v>
      </c>
      <c r="D88" s="5" t="s">
        <v>121</v>
      </c>
      <c r="E88" s="4" t="s">
        <v>39</v>
      </c>
      <c r="F88" s="6">
        <v>52</v>
      </c>
    </row>
    <row x14ac:dyDescent="0.25" r="89" customHeight="1" ht="20">
      <c r="A89" s="7" t="s">
        <v>242</v>
      </c>
      <c r="B89" s="8" t="s">
        <v>123</v>
      </c>
      <c r="C89" s="8" t="s">
        <v>65</v>
      </c>
      <c r="D89" s="8" t="s">
        <v>52</v>
      </c>
      <c r="E89" s="7" t="s">
        <v>10</v>
      </c>
      <c r="F89" s="9">
        <v>145</v>
      </c>
    </row>
    <row x14ac:dyDescent="0.25" r="90" customHeight="1" ht="20">
      <c r="A90" s="4" t="s">
        <v>243</v>
      </c>
      <c r="B90" s="5" t="s">
        <v>244</v>
      </c>
      <c r="C90" s="5" t="s">
        <v>30</v>
      </c>
      <c r="D90" s="5" t="s">
        <v>14</v>
      </c>
      <c r="E90" s="4" t="s">
        <v>15</v>
      </c>
      <c r="F90" s="6">
        <v>216</v>
      </c>
    </row>
    <row x14ac:dyDescent="0.25" r="91" customHeight="1" ht="20">
      <c r="A91" s="7" t="s">
        <v>245</v>
      </c>
      <c r="B91" s="8" t="s">
        <v>246</v>
      </c>
      <c r="C91" s="8" t="s">
        <v>189</v>
      </c>
      <c r="D91" s="8" t="s">
        <v>38</v>
      </c>
      <c r="E91" s="7" t="s">
        <v>39</v>
      </c>
      <c r="F91" s="9">
        <v>150</v>
      </c>
    </row>
    <row x14ac:dyDescent="0.25" r="92" customHeight="1" ht="20">
      <c r="A92" s="4" t="s">
        <v>247</v>
      </c>
      <c r="B92" s="5" t="s">
        <v>248</v>
      </c>
      <c r="C92" s="5" t="s">
        <v>87</v>
      </c>
      <c r="D92" s="5" t="s">
        <v>75</v>
      </c>
      <c r="E92" s="4" t="s">
        <v>48</v>
      </c>
      <c r="F92" s="6">
        <v>57</v>
      </c>
    </row>
    <row x14ac:dyDescent="0.25" r="93" customHeight="1" ht="20">
      <c r="A93" s="7" t="s">
        <v>249</v>
      </c>
      <c r="B93" s="8" t="s">
        <v>250</v>
      </c>
      <c r="C93" s="8" t="s">
        <v>33</v>
      </c>
      <c r="D93" s="8" t="s">
        <v>34</v>
      </c>
      <c r="E93" s="7" t="s">
        <v>15</v>
      </c>
      <c r="F93" s="9">
        <v>91</v>
      </c>
    </row>
    <row x14ac:dyDescent="0.25" r="94" customHeight="1" ht="20">
      <c r="A94" s="4" t="s">
        <v>251</v>
      </c>
      <c r="B94" s="5" t="s">
        <v>252</v>
      </c>
      <c r="C94" s="5" t="s">
        <v>13</v>
      </c>
      <c r="D94" s="5" t="s">
        <v>14</v>
      </c>
      <c r="E94" s="4" t="s">
        <v>15</v>
      </c>
      <c r="F94" s="6">
        <v>194</v>
      </c>
    </row>
    <row x14ac:dyDescent="0.25" r="95" customHeight="1" ht="20">
      <c r="A95" s="7" t="s">
        <v>253</v>
      </c>
      <c r="B95" s="8" t="s">
        <v>254</v>
      </c>
      <c r="C95" s="8" t="s">
        <v>46</v>
      </c>
      <c r="D95" s="8" t="s">
        <v>47</v>
      </c>
      <c r="E95" s="7" t="s">
        <v>48</v>
      </c>
      <c r="F95" s="9">
        <v>54</v>
      </c>
    </row>
    <row x14ac:dyDescent="0.25" r="96" customHeight="1" ht="20">
      <c r="A96" s="4" t="s">
        <v>255</v>
      </c>
      <c r="B96" s="5" t="s">
        <v>256</v>
      </c>
      <c r="C96" s="5" t="s">
        <v>257</v>
      </c>
      <c r="D96" s="5" t="s">
        <v>34</v>
      </c>
      <c r="E96" s="4" t="s">
        <v>15</v>
      </c>
      <c r="F96" s="6">
        <v>79</v>
      </c>
    </row>
    <row x14ac:dyDescent="0.25" r="97" customHeight="1" ht="20">
      <c r="A97" s="7" t="s">
        <v>258</v>
      </c>
      <c r="B97" s="8" t="s">
        <v>161</v>
      </c>
      <c r="C97" s="8" t="s">
        <v>162</v>
      </c>
      <c r="D97" s="8" t="s">
        <v>163</v>
      </c>
      <c r="E97" s="7" t="s">
        <v>10</v>
      </c>
      <c r="F97" s="9">
        <v>74</v>
      </c>
    </row>
    <row x14ac:dyDescent="0.25" r="98" customHeight="1" ht="20">
      <c r="A98" s="4" t="s">
        <v>259</v>
      </c>
      <c r="B98" s="5" t="s">
        <v>260</v>
      </c>
      <c r="C98" s="5" t="s">
        <v>261</v>
      </c>
      <c r="D98" s="5" t="s">
        <v>75</v>
      </c>
      <c r="E98" s="4" t="s">
        <v>48</v>
      </c>
      <c r="F98" s="6">
        <v>200</v>
      </c>
    </row>
    <row x14ac:dyDescent="0.25" r="99" customHeight="1" ht="20">
      <c r="A99" s="7" t="s">
        <v>262</v>
      </c>
      <c r="B99" s="8" t="s">
        <v>186</v>
      </c>
      <c r="C99" s="8" t="s">
        <v>74</v>
      </c>
      <c r="D99" s="8" t="s">
        <v>75</v>
      </c>
      <c r="E99" s="7" t="s">
        <v>48</v>
      </c>
      <c r="F99" s="9">
        <v>144</v>
      </c>
    </row>
    <row x14ac:dyDescent="0.25" r="100" customHeight="1" ht="20">
      <c r="A100" s="4" t="s">
        <v>263</v>
      </c>
      <c r="B100" s="5" t="s">
        <v>264</v>
      </c>
      <c r="C100" s="5" t="s">
        <v>130</v>
      </c>
      <c r="D100" s="5" t="s">
        <v>121</v>
      </c>
      <c r="E100" s="4" t="s">
        <v>39</v>
      </c>
      <c r="F100" s="6">
        <v>78</v>
      </c>
    </row>
    <row x14ac:dyDescent="0.25" r="101" customHeight="1" ht="20">
      <c r="A101" s="7" t="s">
        <v>265</v>
      </c>
      <c r="B101" s="8" t="s">
        <v>266</v>
      </c>
      <c r="C101" s="8" t="s">
        <v>267</v>
      </c>
      <c r="D101" s="8" t="s">
        <v>82</v>
      </c>
      <c r="E101" s="7" t="s">
        <v>27</v>
      </c>
      <c r="F101" s="9">
        <v>204</v>
      </c>
    </row>
    <row x14ac:dyDescent="0.25" r="102" customHeight="1" ht="18.75">
      <c r="A102" s="10" t="s">
        <v>268</v>
      </c>
      <c r="B102" s="11"/>
      <c r="C102" s="11"/>
      <c r="D102" s="11"/>
      <c r="E102" s="12" t="s">
        <v>269</v>
      </c>
      <c r="F102" s="13">
        <f>SUM(F3:F102)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Executive Summary</vt:lpstr>
      <vt:lpstr>Branch Directory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2026-07-29T09:06:40.555Z</dcterms:created>
  <dcterms:modified xsi:type="dcterms:W3CDTF">2026-07-29T09:06:40.555Z</dcterms:modified>
</cp:coreProperties>
</file>